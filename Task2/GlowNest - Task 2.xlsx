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<sst xmlns="http://schemas.openxmlformats.org/spreadsheetml/2006/main" count="58" uniqueCount="47">
  <si>
    <t>Input Sections</t>
  </si>
  <si>
    <t>Output Sections</t>
  </si>
  <si>
    <t>Section A - Scenario 1: Ad Efficiency Drops</t>
  </si>
  <si>
    <t>SECTION B — Scenario 2: Scaling Up</t>
  </si>
  <si>
    <t>Input</t>
  </si>
  <si>
    <t>Value</t>
  </si>
  <si>
    <t>Output Name</t>
  </si>
  <si>
    <t>Answer</t>
  </si>
  <si>
    <t>Selling Price</t>
  </si>
  <si>
    <t>Gross Margin</t>
  </si>
  <si>
    <t>Scenario 1 Inputs</t>
  </si>
  <si>
    <t>Scenario 2 Inputs</t>
  </si>
  <si>
    <t>COGS</t>
  </si>
  <si>
    <t>Amazon Fee</t>
  </si>
  <si>
    <t>New ACOS</t>
  </si>
  <si>
    <t>New Ad Spend</t>
  </si>
  <si>
    <t>Amazon Fee %</t>
  </si>
  <si>
    <t>Contribution Before Ads</t>
  </si>
  <si>
    <t>New Ad Units</t>
  </si>
  <si>
    <t>Monthly Ad Spend</t>
  </si>
  <si>
    <t>Ad Revenue</t>
  </si>
  <si>
    <t>Ad Units Sold</t>
  </si>
  <si>
    <t>Organic Revenue</t>
  </si>
  <si>
    <t>Scenario 1 Outputs</t>
  </si>
  <si>
    <t>Formula</t>
  </si>
  <si>
    <t>Scenario 2 Outputs</t>
  </si>
  <si>
    <t>Organic Units Sold</t>
  </si>
  <si>
    <t>Total Revenue</t>
  </si>
  <si>
    <t>New Ad Revenue</t>
  </si>
  <si>
    <t>Fixed Costs</t>
  </si>
  <si>
    <t>Ad Cost Per Unit</t>
  </si>
  <si>
    <t>New Ad Cost Per Unit</t>
  </si>
  <si>
    <t>Net Margin Per Ad Unit</t>
  </si>
  <si>
    <t>New Net Margin Per Ad Unit</t>
  </si>
  <si>
    <t>Total Ad Profit</t>
  </si>
  <si>
    <t>New Total Ad Profit</t>
  </si>
  <si>
    <t>Organic Margin Per Unit</t>
  </si>
  <si>
    <t>Organic Profit</t>
  </si>
  <si>
    <t>Total Organic Profit</t>
  </si>
  <si>
    <t>New Monthly Profit</t>
  </si>
  <si>
    <t>Monthly Profit</t>
  </si>
  <si>
    <t>ACOS</t>
  </si>
  <si>
    <t>TACOS</t>
  </si>
  <si>
    <r>
      <rPr>
        <rFont val="Arial"/>
        <b/>
        <color theme="1"/>
      </rPr>
      <t>Note:</t>
    </r>
    <r>
      <rPr>
        <rFont val="Arial"/>
        <color theme="1"/>
      </rPr>
      <t>Although the business remains profitable, worsening ACOS significantly reduces advertising efficiency and lowers overall profitability.</t>
    </r>
  </si>
  <si>
    <r>
      <rPr>
        <rFont val="Arial"/>
        <b/>
        <color theme="1"/>
      </rPr>
      <t>Note:</t>
    </r>
    <r>
      <rPr>
        <rFont val="Arial"/>
        <color theme="1"/>
      </rPr>
      <t>Sales increase after scaling ad spend, but efficiency declines because ad spend grows faster than unit growth. This suggests diminishing returns at higher advertising scale.</t>
    </r>
  </si>
  <si>
    <t>Break-Even Ad Spend</t>
  </si>
  <si>
    <t>Break-Even ACOS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</si>
</sst>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₹]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/>
    <font>
      <b/>
      <color rgb="FFFFFFFF"/>
      <name val="Arial"/>
      <scheme val="minor"/>
    </font>
    <font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45818E"/>
        <bgColor rgb="FF45818E"/>
      </patternFill>
    </fill>
    <fill>
      <patternFill patternType="solid">
        <fgColor rgb="FF674EA7"/>
        <bgColor rgb="FF674EA7"/>
      </patternFill>
    </fill>
    <fill>
      <patternFill patternType="solid">
        <fgColor rgb="FFCC0000"/>
        <bgColor rgb="FFCC0000"/>
      </patternFill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5A6BD"/>
        <bgColor rgb="FFD5A6BD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0" fillId="3" fontId="1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 readingOrder="0"/>
    </xf>
    <xf borderId="0" fillId="5" fontId="3" numFmtId="0" xfId="0" applyAlignment="1" applyFill="1" applyFont="1">
      <alignment horizontal="center" readingOrder="0"/>
    </xf>
    <xf borderId="1" fillId="6" fontId="1" numFmtId="0" xfId="0" applyAlignment="1" applyBorder="1" applyFill="1" applyFont="1">
      <alignment horizontal="center" readingOrder="0"/>
    </xf>
    <xf borderId="2" fillId="6" fontId="1" numFmtId="0" xfId="0" applyAlignment="1" applyBorder="1" applyFont="1">
      <alignment horizontal="center" readingOrder="0"/>
    </xf>
    <xf borderId="1" fillId="7" fontId="1" numFmtId="0" xfId="0" applyAlignment="1" applyBorder="1" applyFill="1" applyFont="1">
      <alignment horizontal="center" readingOrder="0"/>
    </xf>
    <xf borderId="2" fillId="7" fontId="1" numFmtId="0" xfId="0" applyAlignment="1" applyBorder="1" applyFont="1">
      <alignment horizontal="center" readingOrder="0"/>
    </xf>
    <xf borderId="3" fillId="8" fontId="4" numFmtId="0" xfId="0" applyAlignment="1" applyBorder="1" applyFill="1" applyFont="1">
      <alignment readingOrder="0"/>
    </xf>
    <xf borderId="3" fillId="9" fontId="4" numFmtId="0" xfId="0" applyAlignment="1" applyBorder="1" applyFill="1" applyFont="1">
      <alignment readingOrder="0"/>
    </xf>
    <xf borderId="3" fillId="9" fontId="4" numFmtId="164" xfId="0" applyAlignment="1" applyBorder="1" applyFont="1" applyNumberFormat="1">
      <alignment readingOrder="0"/>
    </xf>
    <xf borderId="1" fillId="10" fontId="1" numFmtId="0" xfId="0" applyAlignment="1" applyBorder="1" applyFill="1" applyFont="1">
      <alignment horizontal="center" readingOrder="0"/>
    </xf>
    <xf borderId="2" fillId="10" fontId="1" numFmtId="0" xfId="0" applyAlignment="1" applyBorder="1" applyFont="1">
      <alignment horizontal="center" readingOrder="0"/>
    </xf>
    <xf borderId="1" fillId="11" fontId="1" numFmtId="0" xfId="0" applyAlignment="1" applyBorder="1" applyFill="1" applyFont="1">
      <alignment horizontal="center" readingOrder="0"/>
    </xf>
    <xf borderId="2" fillId="11" fontId="1" numFmtId="0" xfId="0" applyAlignment="1" applyBorder="1" applyFont="1">
      <alignment horizontal="center" readingOrder="0"/>
    </xf>
    <xf borderId="3" fillId="12" fontId="4" numFmtId="0" xfId="0" applyAlignment="1" applyBorder="1" applyFill="1" applyFont="1">
      <alignment readingOrder="0"/>
    </xf>
    <xf borderId="3" fillId="12" fontId="4" numFmtId="9" xfId="0" applyAlignment="1" applyBorder="1" applyFont="1" applyNumberFormat="1">
      <alignment readingOrder="0"/>
    </xf>
    <xf borderId="3" fillId="13" fontId="4" numFmtId="0" xfId="0" applyAlignment="1" applyBorder="1" applyFill="1" applyFont="1">
      <alignment readingOrder="0"/>
    </xf>
    <xf borderId="3" fillId="8" fontId="4" numFmtId="9" xfId="0" applyAlignment="1" applyBorder="1" applyFont="1" applyNumberFormat="1">
      <alignment readingOrder="0"/>
    </xf>
    <xf borderId="3" fillId="12" fontId="4" numFmtId="164" xfId="0" applyAlignment="1" applyBorder="1" applyFont="1" applyNumberFormat="1">
      <alignment readingOrder="0"/>
    </xf>
    <xf borderId="3" fillId="14" fontId="4" numFmtId="0" xfId="0" applyAlignment="1" applyBorder="1" applyFill="1" applyFont="1">
      <alignment readingOrder="0"/>
    </xf>
    <xf borderId="3" fillId="14" fontId="4" numFmtId="164" xfId="0" applyAlignment="1" applyBorder="1" applyFont="1" applyNumberFormat="1">
      <alignment readingOrder="0"/>
    </xf>
    <xf borderId="3" fillId="9" fontId="4" numFmtId="10" xfId="0" applyAlignment="1" applyBorder="1" applyFont="1" applyNumberFormat="1">
      <alignment readingOrder="0"/>
    </xf>
    <xf borderId="0" fillId="15" fontId="4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4" max="4" width="20.13"/>
    <col customWidth="1" min="7" max="8" width="22.88"/>
    <col customWidth="1" min="10" max="10" width="19.88"/>
    <col customWidth="1" min="11" max="11" width="16.63"/>
  </cols>
  <sheetData>
    <row r="1">
      <c r="A1" s="1" t="s">
        <v>0</v>
      </c>
      <c r="B1" s="2"/>
      <c r="D1" s="3" t="s">
        <v>1</v>
      </c>
      <c r="G1" s="4" t="s">
        <v>2</v>
      </c>
      <c r="J1" s="5" t="s">
        <v>3</v>
      </c>
    </row>
    <row r="2">
      <c r="A2" s="6" t="s">
        <v>4</v>
      </c>
      <c r="B2" s="7" t="s">
        <v>5</v>
      </c>
      <c r="D2" s="8" t="s">
        <v>6</v>
      </c>
      <c r="E2" s="9" t="s">
        <v>7</v>
      </c>
    </row>
    <row r="3">
      <c r="A3" s="10" t="s">
        <v>8</v>
      </c>
      <c r="B3" s="10">
        <v>800.0</v>
      </c>
      <c r="D3" s="11" t="s">
        <v>9</v>
      </c>
      <c r="E3" s="12">
        <f>B3-B4</f>
        <v>520</v>
      </c>
      <c r="G3" s="13" t="s">
        <v>10</v>
      </c>
      <c r="H3" s="14" t="s">
        <v>5</v>
      </c>
      <c r="J3" s="15" t="s">
        <v>11</v>
      </c>
      <c r="K3" s="16" t="s">
        <v>5</v>
      </c>
    </row>
    <row r="4">
      <c r="A4" s="10" t="s">
        <v>12</v>
      </c>
      <c r="B4" s="10">
        <v>280.0</v>
      </c>
      <c r="D4" s="11" t="s">
        <v>13</v>
      </c>
      <c r="E4" s="12">
        <f>B3*B5</f>
        <v>96</v>
      </c>
      <c r="G4" s="17" t="s">
        <v>14</v>
      </c>
      <c r="H4" s="18">
        <v>0.4</v>
      </c>
      <c r="J4" s="19" t="s">
        <v>15</v>
      </c>
      <c r="K4" s="19">
        <v>600000.0</v>
      </c>
    </row>
    <row r="5">
      <c r="A5" s="10" t="s">
        <v>16</v>
      </c>
      <c r="B5" s="20">
        <v>0.12</v>
      </c>
      <c r="D5" s="11" t="s">
        <v>17</v>
      </c>
      <c r="E5" s="12">
        <f>B3-B4-E4</f>
        <v>424</v>
      </c>
      <c r="G5" s="17" t="s">
        <v>18</v>
      </c>
      <c r="H5" s="17">
        <v>1200.0</v>
      </c>
      <c r="J5" s="19" t="s">
        <v>18</v>
      </c>
      <c r="K5" s="19">
        <v>2500.0</v>
      </c>
    </row>
    <row r="6">
      <c r="A6" s="10" t="s">
        <v>19</v>
      </c>
      <c r="B6" s="10">
        <v>300000.0</v>
      </c>
      <c r="D6" s="11" t="s">
        <v>20</v>
      </c>
      <c r="E6" s="12">
        <f>B3*B7</f>
        <v>1200000</v>
      </c>
    </row>
    <row r="7">
      <c r="A7" s="10" t="s">
        <v>21</v>
      </c>
      <c r="B7" s="10">
        <v>1500.0</v>
      </c>
      <c r="D7" s="11" t="s">
        <v>22</v>
      </c>
      <c r="E7" s="12">
        <f>B3*B8</f>
        <v>1600000</v>
      </c>
      <c r="G7" s="13" t="s">
        <v>23</v>
      </c>
      <c r="H7" s="14" t="s">
        <v>24</v>
      </c>
      <c r="J7" s="15" t="s">
        <v>25</v>
      </c>
      <c r="K7" s="16" t="s">
        <v>24</v>
      </c>
    </row>
    <row r="8">
      <c r="A8" s="10" t="s">
        <v>26</v>
      </c>
      <c r="B8" s="10">
        <v>2000.0</v>
      </c>
      <c r="D8" s="11" t="s">
        <v>27</v>
      </c>
      <c r="E8" s="12">
        <f>E6+E7</f>
        <v>2800000</v>
      </c>
      <c r="G8" s="17" t="s">
        <v>28</v>
      </c>
      <c r="H8" s="21">
        <f>B3*H5</f>
        <v>960000</v>
      </c>
      <c r="J8" s="22" t="s">
        <v>28</v>
      </c>
      <c r="K8" s="23">
        <f>B3*K5</f>
        <v>2000000</v>
      </c>
    </row>
    <row r="9">
      <c r="A9" s="10" t="s">
        <v>29</v>
      </c>
      <c r="B9" s="10">
        <v>150000.0</v>
      </c>
      <c r="D9" s="11" t="s">
        <v>30</v>
      </c>
      <c r="E9" s="12">
        <f>B6/B7</f>
        <v>200</v>
      </c>
      <c r="G9" s="17" t="s">
        <v>15</v>
      </c>
      <c r="H9" s="21">
        <f>H4*H8</f>
        <v>384000</v>
      </c>
      <c r="J9" s="22" t="s">
        <v>31</v>
      </c>
      <c r="K9" s="23">
        <f>K4/K5</f>
        <v>240</v>
      </c>
    </row>
    <row r="10">
      <c r="D10" s="11" t="s">
        <v>32</v>
      </c>
      <c r="E10" s="12">
        <f>E5-E9</f>
        <v>224</v>
      </c>
      <c r="G10" s="17" t="s">
        <v>31</v>
      </c>
      <c r="H10" s="21">
        <f>H9/H5</f>
        <v>320</v>
      </c>
      <c r="J10" s="22" t="s">
        <v>33</v>
      </c>
      <c r="K10" s="23">
        <f>B3-B4-E4-K9</f>
        <v>184</v>
      </c>
    </row>
    <row r="11">
      <c r="D11" s="11" t="s">
        <v>34</v>
      </c>
      <c r="E11" s="12">
        <f>E10*B7</f>
        <v>336000</v>
      </c>
      <c r="G11" s="17" t="s">
        <v>33</v>
      </c>
      <c r="H11" s="21">
        <f>B3-B4-E4-H10</f>
        <v>104</v>
      </c>
      <c r="J11" s="22" t="s">
        <v>35</v>
      </c>
      <c r="K11" s="23">
        <f>K10*K5</f>
        <v>460000</v>
      </c>
    </row>
    <row r="12">
      <c r="D12" s="11" t="s">
        <v>36</v>
      </c>
      <c r="E12" s="12">
        <f>B3-B4-E4</f>
        <v>424</v>
      </c>
      <c r="G12" s="17" t="s">
        <v>35</v>
      </c>
      <c r="H12" s="21">
        <f>H11*H5</f>
        <v>124800</v>
      </c>
      <c r="J12" s="22" t="s">
        <v>37</v>
      </c>
      <c r="K12" s="23">
        <f>E12*B8</f>
        <v>848000</v>
      </c>
    </row>
    <row r="13">
      <c r="D13" s="11" t="s">
        <v>38</v>
      </c>
      <c r="E13" s="12">
        <f>E12*B8</f>
        <v>848000</v>
      </c>
      <c r="G13" s="17" t="s">
        <v>37</v>
      </c>
      <c r="H13" s="21">
        <f>E12*B8</f>
        <v>848000</v>
      </c>
      <c r="J13" s="22" t="s">
        <v>39</v>
      </c>
      <c r="K13" s="23">
        <f>K11+K12-B9</f>
        <v>1158000</v>
      </c>
    </row>
    <row r="14">
      <c r="D14" s="11" t="s">
        <v>40</v>
      </c>
      <c r="E14" s="12">
        <f>E11+E13-B9</f>
        <v>1034000</v>
      </c>
      <c r="G14" s="17" t="s">
        <v>39</v>
      </c>
      <c r="H14" s="21">
        <f>H12+H13-B9</f>
        <v>822800</v>
      </c>
    </row>
    <row r="15">
      <c r="D15" s="11" t="s">
        <v>41</v>
      </c>
      <c r="E15" s="12">
        <f>(B6/E6)*100</f>
        <v>25</v>
      </c>
    </row>
    <row r="16">
      <c r="D16" s="11" t="s">
        <v>42</v>
      </c>
      <c r="E16" s="24">
        <f>(B6/E8)*100</f>
        <v>10.71428571</v>
      </c>
      <c r="G16" s="25" t="s">
        <v>43</v>
      </c>
      <c r="J16" s="25" t="s">
        <v>44</v>
      </c>
    </row>
    <row r="17">
      <c r="D17" s="11" t="s">
        <v>45</v>
      </c>
      <c r="E17" s="12">
        <f>(E5*(B7+B8))-B9</f>
        <v>1334000</v>
      </c>
    </row>
    <row r="18">
      <c r="D18" s="11" t="s">
        <v>46</v>
      </c>
      <c r="E18" s="24">
        <f>(E17/E6)*100</f>
        <v>111.1666667</v>
      </c>
    </row>
  </sheetData>
  <mergeCells count="6">
    <mergeCell ref="D1:E1"/>
    <mergeCell ref="G1:H1"/>
    <mergeCell ref="J1:K1"/>
    <mergeCell ref="G16:H18"/>
    <mergeCell ref="J16:K19"/>
    <mergeCell ref="A1:B1"/>
  </mergeCells>
  <drawing r:id="rId1"/>
</worksheet>
</file>